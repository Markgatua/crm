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4\AIM International Access Control\"/>
    </mc:Choice>
  </mc:AlternateContent>
  <xr:revisionPtr revIDLastSave="0" documentId="8_{307DD937-027C-416C-9CE5-C09CD6511832}" xr6:coauthVersionLast="36" xr6:coauthVersionMax="36" xr10:uidLastSave="{00000000-0000-0000-0000-000000000000}"/>
  <bookViews>
    <workbookView xWindow="0" yWindow="0" windowWidth="20490" windowHeight="7125" xr2:uid="{00000000-000D-0000-FFFF-FFFF00000000}"/>
  </bookViews>
  <sheets>
    <sheet name="Table 1" sheetId="1" r:id="rId1"/>
  </sheets>
  <calcPr calcId="191029"/>
</workbook>
</file>

<file path=xl/calcChain.xml><?xml version="1.0" encoding="utf-8"?>
<calcChain xmlns="http://schemas.openxmlformats.org/spreadsheetml/2006/main">
  <c r="E27" i="1" l="1"/>
  <c r="E26" i="1"/>
  <c r="E25" i="1"/>
  <c r="D22" i="1"/>
  <c r="D21" i="1"/>
  <c r="E21" i="1" s="1"/>
  <c r="I11" i="1"/>
  <c r="E22" i="1"/>
  <c r="C2" i="1" l="1"/>
</calcChain>
</file>

<file path=xl/sharedStrings.xml><?xml version="1.0" encoding="utf-8"?>
<sst xmlns="http://schemas.openxmlformats.org/spreadsheetml/2006/main" count="33" uniqueCount="33">
  <si>
    <r>
      <rPr>
        <b/>
        <sz val="11.5"/>
        <rFont val="Cambria"/>
        <family val="1"/>
      </rPr>
      <t>XTRANET COMMUNICATIONS LTD</t>
    </r>
  </si>
  <si>
    <r>
      <rPr>
        <sz val="11.5"/>
        <rFont val="Cambria"/>
        <family val="1"/>
      </rPr>
      <t>P.O BOX 27346, 00100 NAIROBI</t>
    </r>
  </si>
  <si>
    <r>
      <rPr>
        <sz val="11.5"/>
        <rFont val="Cambria"/>
        <family val="1"/>
      </rPr>
      <t>TEL:</t>
    </r>
  </si>
  <si>
    <r>
      <rPr>
        <sz val="11.5"/>
        <rFont val="Cambria"/>
        <family val="1"/>
      </rPr>
      <t>020 2490999,</t>
    </r>
  </si>
  <si>
    <r>
      <rPr>
        <sz val="11.5"/>
        <rFont val="Cambria"/>
        <family val="1"/>
      </rPr>
      <t>Email:</t>
    </r>
  </si>
  <si>
    <r>
      <rPr>
        <u/>
        <sz val="11.5"/>
        <color rgb="FF0562C1"/>
        <rFont val="Cambria"/>
        <family val="1"/>
      </rPr>
      <t>info@xtranet.co.ke</t>
    </r>
  </si>
  <si>
    <r>
      <rPr>
        <sz val="11.5"/>
        <rFont val="Cambria"/>
        <family val="1"/>
      </rPr>
      <t>Websit</t>
    </r>
  </si>
  <si>
    <r>
      <rPr>
        <u/>
        <sz val="11.5"/>
        <color rgb="FF0562C1"/>
        <rFont val="Cambria"/>
        <family val="1"/>
      </rPr>
      <t> www.xtranet.co.ke</t>
    </r>
  </si>
  <si>
    <r>
      <rPr>
        <b/>
        <sz val="11.5"/>
        <rFont val="Cambria"/>
        <family val="1"/>
      </rPr>
      <t>No:</t>
    </r>
  </si>
  <si>
    <r>
      <rPr>
        <b/>
        <sz val="11.5"/>
        <rFont val="Cambria"/>
        <family val="1"/>
      </rPr>
      <t>Item Description</t>
    </r>
  </si>
  <si>
    <r>
      <rPr>
        <b/>
        <sz val="11.5"/>
        <rFont val="Cambria"/>
        <family val="1"/>
      </rPr>
      <t>Unit price (KSH)</t>
    </r>
  </si>
  <si>
    <r>
      <rPr>
        <b/>
        <sz val="11.5"/>
        <rFont val="Cambria"/>
        <family val="1"/>
      </rPr>
      <t>Total Price (KSH)</t>
    </r>
  </si>
  <si>
    <r>
      <rPr>
        <b/>
        <sz val="9"/>
        <rFont val="Cambria"/>
        <family val="1"/>
      </rPr>
      <t xml:space="preserve">DISCLAIMER
</t>
    </r>
    <r>
      <rPr>
        <b/>
        <sz val="9"/>
        <rFont val="Cambria"/>
        <family val="1"/>
      </rPr>
      <t xml:space="preserve">a) Quotation Valid for 30 days
</t>
    </r>
    <r>
      <rPr>
        <b/>
        <sz val="9"/>
        <rFont val="Cambria"/>
        <family val="1"/>
      </rPr>
      <t xml:space="preserve">b) Price is Quoted in KSH
</t>
    </r>
    <r>
      <rPr>
        <b/>
        <sz val="9"/>
        <rFont val="Cambria"/>
        <family val="1"/>
      </rPr>
      <t xml:space="preserve">d) Payment terms: 30 days from date of Invoicing
</t>
    </r>
    <r>
      <rPr>
        <b/>
        <sz val="9"/>
        <rFont val="Cambria"/>
        <family val="1"/>
      </rPr>
      <t xml:space="preserve">e) All Prices are inclusive of 16% V.A.T
</t>
    </r>
    <r>
      <rPr>
        <b/>
        <sz val="9.5"/>
        <rFont val="Cambria"/>
        <family val="1"/>
      </rPr>
      <t>XTRANET COMMUNICATIONS LIMITED</t>
    </r>
  </si>
  <si>
    <t>VAT</t>
  </si>
  <si>
    <t>Qty</t>
  </si>
  <si>
    <t>GREAT COMMISSIONS LIMITED</t>
  </si>
  <si>
    <t>Biometric Access Control Device</t>
  </si>
  <si>
    <t>Magnetic Lock - 350 kgs</t>
  </si>
  <si>
    <t>Z &amp; L bracket</t>
  </si>
  <si>
    <t>Metallic Push Button (Slim) Complete</t>
  </si>
  <si>
    <t>Overide Key</t>
  </si>
  <si>
    <t>Emergency Break Glass</t>
  </si>
  <si>
    <t>8 Core Alarm cable - Metres</t>
  </si>
  <si>
    <t>Power Supply Unit + Battery - 12V, 5 AMP</t>
  </si>
  <si>
    <t>Cat 6 UTP cable - Metres - Roll</t>
  </si>
  <si>
    <t>Door Closer</t>
  </si>
  <si>
    <t>Mini Trunking - 1*1</t>
  </si>
  <si>
    <t xml:space="preserve">Other Accessories </t>
  </si>
  <si>
    <t>Labour</t>
  </si>
  <si>
    <t>4 Days</t>
  </si>
  <si>
    <t>150mtrs</t>
  </si>
  <si>
    <t>Quotation for Biometrics and Cable Management.</t>
  </si>
  <si>
    <t>Mini Trunking - 1*2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</si>
</sst>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;@"/>
  </numFmts>
  <fonts count="11" x14ac:knownFonts="1">
    <font>
      <sz val="10"/>
      <color rgb="FF000000"/>
      <name val="Times New Roman"/>
      <charset val="204"/>
    </font>
    <font>
      <b/>
      <sz val="11.5"/>
      <name val="Cambria"/>
    </font>
    <font>
      <b/>
      <sz val="10.5"/>
      <color rgb="FF000000"/>
      <name val="Cambria"/>
      <family val="2"/>
    </font>
    <font>
      <sz val="11.5"/>
      <name val="Cambria"/>
    </font>
    <font>
      <b/>
      <sz val="13.5"/>
      <name val="Cambria"/>
    </font>
    <font>
      <sz val="10.5"/>
      <color rgb="FF000000"/>
      <name val="Cambria"/>
      <family val="2"/>
    </font>
    <font>
      <b/>
      <sz val="11.5"/>
      <name val="Cambria"/>
      <family val="1"/>
    </font>
    <font>
      <sz val="11.5"/>
      <name val="Cambria"/>
      <family val="1"/>
    </font>
    <font>
      <u/>
      <sz val="11.5"/>
      <color rgb="FF0562C1"/>
      <name val="Cambria"/>
      <family val="1"/>
    </font>
    <font>
      <b/>
      <sz val="9"/>
      <name val="Cambria"/>
      <family val="1"/>
    </font>
    <font>
      <b/>
      <sz val="9.5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BCD6ED"/>
      </patternFill>
    </fill>
    <fill>
      <patternFill patternType="solid">
        <fgColor rgb="FFFFE699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 applyAlignment="1">
      <alignment horizontal="left" vertical="top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1" fillId="2" borderId="11" xfId="0" applyFont="1" applyFill="1" applyBorder="1" applyAlignment="1">
      <alignment horizontal="left" vertical="top" wrapText="1" indent="1"/>
    </xf>
    <xf numFmtId="0" fontId="1" fillId="2" borderId="11" xfId="0" applyFont="1" applyFill="1" applyBorder="1" applyAlignment="1">
      <alignment horizontal="left" vertical="top" wrapText="1" indent="6"/>
    </xf>
    <xf numFmtId="0" fontId="1" fillId="2" borderId="8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left" vertical="top" wrapText="1" indent="3"/>
    </xf>
    <xf numFmtId="0" fontId="1" fillId="2" borderId="11" xfId="0" applyFont="1" applyFill="1" applyBorder="1" applyAlignment="1">
      <alignment horizontal="right" vertical="top" wrapText="1"/>
    </xf>
    <xf numFmtId="1" fontId="5" fillId="0" borderId="11" xfId="0" applyNumberFormat="1" applyFont="1" applyBorder="1" applyAlignment="1">
      <alignment horizontal="center" vertical="top" shrinkToFit="1"/>
    </xf>
    <xf numFmtId="0" fontId="3" fillId="0" borderId="11" xfId="0" applyFont="1" applyBorder="1" applyAlignment="1">
      <alignment horizontal="left" vertical="top" wrapText="1"/>
    </xf>
    <xf numFmtId="0" fontId="0" fillId="3" borderId="9" xfId="0" applyFill="1" applyBorder="1" applyAlignment="1">
      <alignment horizontal="left" wrapText="1"/>
    </xf>
    <xf numFmtId="4" fontId="2" fillId="3" borderId="11" xfId="0" applyNumberFormat="1" applyFont="1" applyFill="1" applyBorder="1" applyAlignment="1">
      <alignment horizontal="right" vertical="top" shrinkToFit="1"/>
    </xf>
    <xf numFmtId="0" fontId="0" fillId="3" borderId="3" xfId="0" applyFill="1" applyBorder="1" applyAlignment="1">
      <alignment vertical="center" wrapText="1"/>
    </xf>
    <xf numFmtId="0" fontId="0" fillId="3" borderId="7" xfId="0" applyFill="1" applyBorder="1" applyAlignment="1">
      <alignment vertical="center" wrapText="1"/>
    </xf>
    <xf numFmtId="0" fontId="6" fillId="2" borderId="8" xfId="0" applyFont="1" applyFill="1" applyBorder="1" applyAlignment="1">
      <alignment horizontal="center" vertical="top" wrapText="1"/>
    </xf>
    <xf numFmtId="4" fontId="1" fillId="2" borderId="9" xfId="0" applyNumberFormat="1" applyFont="1" applyFill="1" applyBorder="1" applyAlignment="1">
      <alignment horizontal="left" vertical="top" wrapText="1" indent="3"/>
    </xf>
    <xf numFmtId="4" fontId="1" fillId="2" borderId="11" xfId="0" applyNumberFormat="1" applyFont="1" applyFill="1" applyBorder="1" applyAlignment="1">
      <alignment horizontal="right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164" fontId="2" fillId="0" borderId="4" xfId="0" applyNumberFormat="1" applyFont="1" applyBorder="1" applyAlignment="1">
      <alignment horizontal="left" indent="8" shrinkToFit="1"/>
    </xf>
    <xf numFmtId="164" fontId="2" fillId="0" borderId="0" xfId="0" applyNumberFormat="1" applyFont="1" applyAlignment="1">
      <alignment horizontal="left" indent="8" shrinkToFit="1"/>
    </xf>
    <xf numFmtId="164" fontId="2" fillId="0" borderId="5" xfId="0" applyNumberFormat="1" applyFont="1" applyBorder="1" applyAlignment="1">
      <alignment horizontal="left" indent="8" shrinkToFi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0" fillId="0" borderId="6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7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750442</xdr:colOff>
      <xdr:row>1</xdr:row>
      <xdr:rowOff>38087</xdr:rowOff>
    </xdr:from>
    <xdr:ext cx="2112644" cy="605421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12644" cy="605421"/>
        </a:xfrm>
        <a:prstGeom prst="rect">
          <a:avLst/>
        </a:prstGeom>
      </xdr:spPr>
    </xdr:pic>
    <xdr:clientData/>
  </xdr:oneCellAnchor>
  <xdr:oneCellAnchor>
    <xdr:from>
      <xdr:col>2</xdr:col>
      <xdr:colOff>418414</xdr:colOff>
      <xdr:row>27</xdr:row>
      <xdr:rowOff>166967</xdr:rowOff>
    </xdr:from>
    <xdr:ext cx="1742313" cy="647515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42313" cy="64751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xtranet.co.ke/" TargetMode="External"/><Relationship Id="rId1" Type="http://schemas.openxmlformats.org/officeDocument/2006/relationships/hyperlink" Target="mailto:info@xtranet.co.k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topLeftCell="A20" workbookViewId="0">
      <selection activeCell="I28" sqref="I28"/>
    </sheetView>
  </sheetViews>
  <sheetFormatPr defaultRowHeight="12.75" x14ac:dyDescent="0.2"/>
  <cols>
    <col min="1" max="1" width="8.83203125" customWidth="1"/>
    <col min="2" max="2" width="43.83203125" customWidth="1"/>
    <col min="3" max="3" width="13.6640625" customWidth="1"/>
    <col min="4" max="4" width="21.83203125" customWidth="1"/>
    <col min="5" max="5" width="24.6640625" customWidth="1"/>
    <col min="8" max="8" width="14.1640625" customWidth="1"/>
    <col min="9" max="9" width="15.5" customWidth="1"/>
  </cols>
  <sheetData>
    <row r="1" spans="1:9" ht="9.75" customHeight="1" x14ac:dyDescent="0.2">
      <c r="A1" s="29"/>
      <c r="B1" s="30"/>
      <c r="C1" s="30"/>
      <c r="D1" s="30"/>
      <c r="E1" s="31"/>
    </row>
    <row r="2" spans="1:9" ht="16.5" customHeight="1" x14ac:dyDescent="0.2">
      <c r="A2" s="32" t="s">
        <v>0</v>
      </c>
      <c r="B2" s="33"/>
      <c r="C2" s="34">
        <f ca="1">TODAY()</f>
        <v>45531</v>
      </c>
      <c r="D2" s="35"/>
      <c r="E2" s="36"/>
    </row>
    <row r="3" spans="1:9" ht="20.85" customHeight="1" x14ac:dyDescent="0.2">
      <c r="A3" s="37" t="s">
        <v>1</v>
      </c>
      <c r="B3" s="38"/>
      <c r="C3" s="34"/>
      <c r="D3" s="35"/>
      <c r="E3" s="36"/>
    </row>
    <row r="4" spans="1:9" ht="20.25" customHeight="1" x14ac:dyDescent="0.2">
      <c r="A4" s="1" t="s">
        <v>2</v>
      </c>
      <c r="B4" s="2" t="s">
        <v>3</v>
      </c>
      <c r="C4" s="34"/>
      <c r="D4" s="35"/>
      <c r="E4" s="36"/>
    </row>
    <row r="5" spans="1:9" ht="16.5" customHeight="1" x14ac:dyDescent="0.2">
      <c r="A5" s="3" t="s">
        <v>4</v>
      </c>
      <c r="B5" s="4" t="s">
        <v>5</v>
      </c>
      <c r="C5" s="34"/>
      <c r="D5" s="35"/>
      <c r="E5" s="36"/>
    </row>
    <row r="6" spans="1:9" ht="16.5" customHeight="1" x14ac:dyDescent="0.2">
      <c r="A6" s="3" t="s">
        <v>6</v>
      </c>
      <c r="B6" s="4" t="s">
        <v>7</v>
      </c>
      <c r="C6" s="34"/>
      <c r="D6" s="35"/>
      <c r="E6" s="36"/>
    </row>
    <row r="7" spans="1:9" ht="13.7" customHeight="1" x14ac:dyDescent="0.2">
      <c r="A7" s="39"/>
      <c r="B7" s="40"/>
      <c r="C7" s="40"/>
      <c r="D7" s="40"/>
      <c r="E7" s="41"/>
    </row>
    <row r="8" spans="1:9" ht="19.5" customHeight="1" x14ac:dyDescent="0.2">
      <c r="A8" s="19" t="s">
        <v>15</v>
      </c>
      <c r="B8" s="20"/>
      <c r="C8" s="20"/>
      <c r="D8" s="20"/>
      <c r="E8" s="21"/>
    </row>
    <row r="9" spans="1:9" ht="19.5" customHeight="1" x14ac:dyDescent="0.2">
      <c r="A9" s="19" t="s">
        <v>31</v>
      </c>
      <c r="B9" s="20"/>
      <c r="C9" s="20"/>
      <c r="D9" s="20"/>
      <c r="E9" s="21"/>
    </row>
    <row r="10" spans="1:9" ht="30.95" customHeight="1" x14ac:dyDescent="0.2">
      <c r="A10" s="5" t="s">
        <v>8</v>
      </c>
      <c r="B10" s="6" t="s">
        <v>9</v>
      </c>
      <c r="C10" s="16" t="s">
        <v>14</v>
      </c>
      <c r="D10" s="8" t="s">
        <v>10</v>
      </c>
      <c r="E10" s="9" t="s">
        <v>11</v>
      </c>
    </row>
    <row r="11" spans="1:9" ht="30.95" customHeight="1" x14ac:dyDescent="0.2">
      <c r="A11" s="5">
        <v>1</v>
      </c>
      <c r="B11" s="6" t="s">
        <v>16</v>
      </c>
      <c r="C11" s="16">
        <v>2</v>
      </c>
      <c r="D11" s="17">
        <v>18150</v>
      </c>
      <c r="E11" s="18">
        <v>36300</v>
      </c>
      <c r="H11">
        <v>16500</v>
      </c>
      <c r="I11">
        <f>H11*1.1</f>
        <v>18150</v>
      </c>
    </row>
    <row r="12" spans="1:9" ht="30.95" customHeight="1" x14ac:dyDescent="0.2">
      <c r="A12" s="5">
        <v>2</v>
      </c>
      <c r="B12" s="6" t="s">
        <v>17</v>
      </c>
      <c r="C12" s="16">
        <v>2</v>
      </c>
      <c r="D12" s="17">
        <v>6050</v>
      </c>
      <c r="E12" s="18">
        <v>12100</v>
      </c>
    </row>
    <row r="13" spans="1:9" ht="30.95" customHeight="1" x14ac:dyDescent="0.2">
      <c r="A13" s="5">
        <v>3</v>
      </c>
      <c r="B13" s="6" t="s">
        <v>18</v>
      </c>
      <c r="C13" s="16">
        <v>2</v>
      </c>
      <c r="D13" s="17">
        <v>2750</v>
      </c>
      <c r="E13" s="18">
        <v>5500</v>
      </c>
    </row>
    <row r="14" spans="1:9" ht="30.95" customHeight="1" x14ac:dyDescent="0.2">
      <c r="A14" s="5">
        <v>4</v>
      </c>
      <c r="B14" s="6" t="s">
        <v>19</v>
      </c>
      <c r="C14" s="16">
        <v>2</v>
      </c>
      <c r="D14" s="17">
        <v>1100</v>
      </c>
      <c r="E14" s="18">
        <v>2200</v>
      </c>
    </row>
    <row r="15" spans="1:9" ht="30.95" customHeight="1" x14ac:dyDescent="0.2">
      <c r="A15" s="5">
        <v>5</v>
      </c>
      <c r="B15" s="6" t="s">
        <v>20</v>
      </c>
      <c r="C15" s="16">
        <v>2</v>
      </c>
      <c r="D15" s="17">
        <v>1650</v>
      </c>
      <c r="E15" s="18">
        <v>3300</v>
      </c>
    </row>
    <row r="16" spans="1:9" ht="30.95" customHeight="1" x14ac:dyDescent="0.2">
      <c r="A16" s="5">
        <v>6</v>
      </c>
      <c r="B16" s="6" t="s">
        <v>21</v>
      </c>
      <c r="C16" s="7">
        <v>2</v>
      </c>
      <c r="D16" s="17">
        <v>1100</v>
      </c>
      <c r="E16" s="18">
        <v>2200</v>
      </c>
    </row>
    <row r="17" spans="1:5" ht="30.95" customHeight="1" x14ac:dyDescent="0.2">
      <c r="A17" s="5">
        <v>7</v>
      </c>
      <c r="B17" s="6" t="s">
        <v>22</v>
      </c>
      <c r="C17" s="7" t="s">
        <v>30</v>
      </c>
      <c r="D17" s="8">
        <v>27.5</v>
      </c>
      <c r="E17" s="18">
        <v>4125</v>
      </c>
    </row>
    <row r="18" spans="1:5" ht="30.95" customHeight="1" x14ac:dyDescent="0.2">
      <c r="A18" s="5">
        <v>9</v>
      </c>
      <c r="B18" s="6" t="s">
        <v>23</v>
      </c>
      <c r="C18" s="7">
        <v>1</v>
      </c>
      <c r="D18" s="17">
        <v>4400</v>
      </c>
      <c r="E18" s="18">
        <v>4400</v>
      </c>
    </row>
    <row r="19" spans="1:5" ht="30.95" customHeight="1" x14ac:dyDescent="0.2">
      <c r="A19" s="5">
        <v>10</v>
      </c>
      <c r="B19" s="6" t="s">
        <v>24</v>
      </c>
      <c r="C19" s="7">
        <v>1</v>
      </c>
      <c r="D19" s="17">
        <v>6050</v>
      </c>
      <c r="E19" s="18">
        <v>6050</v>
      </c>
    </row>
    <row r="20" spans="1:5" ht="30.95" customHeight="1" x14ac:dyDescent="0.2">
      <c r="A20" s="5">
        <v>11</v>
      </c>
      <c r="B20" s="6" t="s">
        <v>25</v>
      </c>
      <c r="C20" s="7">
        <v>1</v>
      </c>
      <c r="D20" s="17">
        <v>2750</v>
      </c>
      <c r="E20" s="18">
        <v>2750</v>
      </c>
    </row>
    <row r="21" spans="1:5" ht="30.95" customHeight="1" x14ac:dyDescent="0.2">
      <c r="A21" s="5">
        <v>11</v>
      </c>
      <c r="B21" s="6" t="s">
        <v>26</v>
      </c>
      <c r="C21" s="7">
        <v>5</v>
      </c>
      <c r="D21" s="17">
        <f>450*1*1.1</f>
        <v>495.00000000000006</v>
      </c>
      <c r="E21" s="18">
        <f>D21*C21</f>
        <v>2475.0000000000005</v>
      </c>
    </row>
    <row r="22" spans="1:5" ht="30.95" customHeight="1" x14ac:dyDescent="0.2">
      <c r="A22" s="5">
        <v>12</v>
      </c>
      <c r="B22" s="6" t="s">
        <v>32</v>
      </c>
      <c r="C22" s="7">
        <v>2</v>
      </c>
      <c r="D22" s="17">
        <f>350*1*1.1</f>
        <v>385.00000000000006</v>
      </c>
      <c r="E22" s="18">
        <f>D22*C22</f>
        <v>770.00000000000011</v>
      </c>
    </row>
    <row r="23" spans="1:5" ht="27" customHeight="1" x14ac:dyDescent="0.2">
      <c r="A23" s="10">
        <v>13</v>
      </c>
      <c r="B23" s="11" t="s">
        <v>27</v>
      </c>
      <c r="C23" s="10"/>
      <c r="D23" s="17">
        <v>10373</v>
      </c>
      <c r="E23" s="18">
        <v>10373</v>
      </c>
    </row>
    <row r="24" spans="1:5" ht="28.5" customHeight="1" x14ac:dyDescent="0.2">
      <c r="A24" s="10">
        <v>14</v>
      </c>
      <c r="B24" s="11" t="s">
        <v>28</v>
      </c>
      <c r="C24" s="10" t="s">
        <v>29</v>
      </c>
      <c r="D24" s="17">
        <v>6000</v>
      </c>
      <c r="E24" s="18">
        <v>24000</v>
      </c>
    </row>
    <row r="25" spans="1:5" ht="17.850000000000001" customHeight="1" x14ac:dyDescent="0.2">
      <c r="A25" s="22"/>
      <c r="B25" s="23"/>
      <c r="C25" s="23"/>
      <c r="D25" s="12"/>
      <c r="E25" s="13">
        <f>SUM(E11:E24)</f>
        <v>116543</v>
      </c>
    </row>
    <row r="26" spans="1:5" ht="20.100000000000001" customHeight="1" x14ac:dyDescent="0.2">
      <c r="A26" s="24"/>
      <c r="B26" s="25"/>
      <c r="C26" s="25"/>
      <c r="D26" s="14" t="s">
        <v>13</v>
      </c>
      <c r="E26" s="13">
        <f>E25*0.16</f>
        <v>18646.88</v>
      </c>
    </row>
    <row r="27" spans="1:5" ht="17.850000000000001" customHeight="1" x14ac:dyDescent="0.2">
      <c r="A27" s="24"/>
      <c r="B27" s="25"/>
      <c r="C27" s="25"/>
      <c r="D27" s="15"/>
      <c r="E27" s="13">
        <f>SUM(E25:E26)</f>
        <v>135189.88</v>
      </c>
    </row>
    <row r="28" spans="1:5" ht="77.45" customHeight="1" x14ac:dyDescent="0.2">
      <c r="A28" s="26" t="s">
        <v>12</v>
      </c>
      <c r="B28" s="27"/>
      <c r="C28" s="27"/>
      <c r="D28" s="27"/>
      <c r="E28" s="28"/>
    </row>
  </sheetData>
  <mergeCells count="9">
    <mergeCell ref="A8:E8"/>
    <mergeCell ref="A25:C27"/>
    <mergeCell ref="A28:E28"/>
    <mergeCell ref="A1:E1"/>
    <mergeCell ref="A2:B2"/>
    <mergeCell ref="C2:E6"/>
    <mergeCell ref="A3:B3"/>
    <mergeCell ref="A7:E7"/>
    <mergeCell ref="A9:E9"/>
  </mergeCells>
  <hyperlinks>
    <hyperlink ref="B5" r:id="rId1" display="mailto:info@xtranet.co.ke" xr:uid="{00000000-0004-0000-0000-000000000000}"/>
    <hyperlink ref="B6" r:id="rId2" display="http://xtranet.co.ke/" xr:uid="{00000000-0004-0000-0000-000001000000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</dc:creator>
  <cp:lastModifiedBy>XTRANET PC</cp:lastModifiedBy>
  <dcterms:created xsi:type="dcterms:W3CDTF">2024-07-10T11:35:32Z</dcterms:created>
  <dcterms:modified xsi:type="dcterms:W3CDTF">2024-08-27T09:35:04Z</dcterms:modified>
</cp:coreProperties>
</file>